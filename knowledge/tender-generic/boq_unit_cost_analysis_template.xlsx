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tes" sheetId="2" r:id="rId2"/>
    <sheet name="700.1" sheetId="3" r:id="rId3"/>
  </sheets>
  <calcPr fullCalcOnLoad="1"/>
</workbook>
</file>

<file path=xl/sharedStrings.xml><?xml version="1.0" encoding="utf-8"?>
<sst xmlns="http://schemas.openxmlformats.org/spreadsheetml/2006/main" count="51" uniqueCount="51">
  <si>
    <t xml:space="preserve">BOQ ITEM UNIT COST ANALYSIS FOR TEMPLATE</t>
  </si>
  <si>
    <t xml:space="preserve">BOQ ITEM</t>
  </si>
  <si>
    <t xml:space="preserve">DESCRIPTION</t>
  </si>
  <si>
    <t xml:space="preserve">UNIT</t>
  </si>
  <si>
    <t xml:space="preserve">QUANTITY</t>
  </si>
  <si>
    <t xml:space="preserve">RATE</t>
  </si>
  <si>
    <t xml:space="preserve">AMOUNT</t>
  </si>
  <si>
    <t xml:space="preserve">700.1</t>
  </si>
  <si>
    <t xml:space="preserve">Demo pavement item (edit quantities and rates)</t>
  </si>
  <si>
    <t xml:space="preserve">m2</t>
  </si>
  <si>
    <t xml:space="preserve">TOTAL (Excluding VAT)</t>
  </si>
  <si>
    <t xml:space="preserve">Assumptions (blue / yellow cells are inputs)</t>
  </si>
  <si>
    <t xml:space="preserve">Currency</t>
  </si>
  <si>
    <t xml:space="preserve">USD</t>
  </si>
  <si>
    <t xml:space="preserve">Hours per day (default)</t>
  </si>
  <si>
    <t xml:space="preserve">VAT factor (rate cells may divide by this)</t>
  </si>
  <si>
    <t xml:space="preserve">Profit fraction on direct cost (0 = C5.1 pure direct)</t>
  </si>
  <si>
    <t xml:space="preserve">Edit item-sheet UNIT COST and Daily output. Totals and the header RATE are formulas.</t>
  </si>
  <si>
    <t xml:space="preserve">Do not replace F=D*E or block SUM rows with typed numbers.</t>
  </si>
  <si>
    <t xml:space="preserve">Daily output</t>
  </si>
  <si>
    <t xml:space="preserve">Hours per day</t>
  </si>
  <si>
    <t xml:space="preserve">Analysis conditions:
1. Work 10 hours per day;
2. The daily output is 3200 m2;
3. Method: Load → Haul → Place
Template only. Replace with this project’s sourced rates.</t>
  </si>
  <si>
    <t xml:space="preserve">700.1.1  Cost of fuel</t>
  </si>
  <si>
    <t xml:space="preserve">ITEM</t>
  </si>
  <si>
    <t xml:space="preserve">UNIT COST</t>
  </si>
  <si>
    <t xml:space="preserve">TOTAL</t>
  </si>
  <si>
    <t xml:space="preserve">F1001</t>
  </si>
  <si>
    <t xml:space="preserve">Diesel of 2 loader,10L/hour</t>
  </si>
  <si>
    <t xml:space="preserve">L</t>
  </si>
  <si>
    <t xml:space="preserve">700.1.1</t>
  </si>
  <si>
    <t xml:space="preserve">PER UNIT TOTAL COST OF FUEL</t>
  </si>
  <si>
    <t xml:space="preserve">700.1.2  Cost of machinery</t>
  </si>
  <si>
    <t xml:space="preserve">C1001</t>
  </si>
  <si>
    <t xml:space="preserve">2 loader (owned equipment)</t>
  </si>
  <si>
    <t xml:space="preserve">per shift</t>
  </si>
  <si>
    <t xml:space="preserve">700.1.2</t>
  </si>
  <si>
    <t xml:space="preserve">PER UNIT TOTAL COST OF MACHINERY</t>
  </si>
  <si>
    <t xml:space="preserve">700.1.3  Cost of labor</t>
  </si>
  <si>
    <t xml:space="preserve">L1001</t>
  </si>
  <si>
    <t xml:space="preserve">2 driver of loader</t>
  </si>
  <si>
    <t xml:space="preserve">day</t>
  </si>
  <si>
    <t xml:space="preserve">700.1.3</t>
  </si>
  <si>
    <t xml:space="preserve">PER UNIT TOTAL COST OF LABOR</t>
  </si>
  <si>
    <t xml:space="preserve">700.1.4  Management fees and other expenses</t>
  </si>
  <si>
    <t xml:space="preserve">A1001</t>
  </si>
  <si>
    <t xml:space="preserve">Management team fees</t>
  </si>
  <si>
    <t xml:space="preserve">700.1.4</t>
  </si>
  <si>
    <t xml:space="preserve">PER UNIT TOTAL COST OF MANAGEMENT FEES AND OTHER EXPENSES</t>
  </si>
  <si>
    <t xml:space="preserve">TOTAL COST FOR 700.1 (Excluding VAT)</t>
  </si>
  <si>
    <t xml:space="preserve">PROFIT</t>
  </si>
  <si>
    <t xml:space="preserve">PRICE OF 700.1 (Excluding VAT)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</si>
</sst>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Arial"/>
    </font>
    <font>
      <b/>
      <sz val="14"/>
      <name val="Arial"/>
    </font>
    <font>
      <b/>
      <sz val="11"/>
      <color rgb="FFFFFFFF"/>
      <name val="Arial"/>
    </font>
    <font>
      <b/>
      <sz val="11"/>
      <name val="Arial"/>
    </font>
    <font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DCE4"/>
        <bgColor rgb="FFD6DCE4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/>
  </cellStyleXfs>
  <cellXfs count="7">
    <xf xfId="0" fontId="0"/>
    <xf xfId="0" fontId="1" applyFont="1"/>
    <xf xfId="0" fontId="2" fillId="2" applyFont="1" applyFill="1"/>
    <xf xfId="0" fontId="3" fillId="3" applyFont="1" applyFill="1"/>
    <xf xfId="0" fontId="4" numFmtId="164" applyFont="1" applyNumberFormat="1"/>
    <xf xfId="0" fontId="0" numFmtId="164" applyNumberFormat="1"/>
    <xf xfId="0" fontId="4" fillId="4" numFmtId="164" applyFont="1" applyFill="1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6"/>
  <cols>
    <col min="1" max="1" width="14" customWidth="1"/>
    <col min="2" max="2" width="48" customWidth="1"/>
    <col min="3" max="3" width="10" customWidth="1"/>
    <col min="4" max="6" width="14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0" t="s">
        <v>7</v>
      </c>
      <c r="B3" s="0" t="s">
        <v>8</v>
      </c>
      <c r="C3" s="0" t="s">
        <v>9</v>
      </c>
      <c r="D3" s="4">
        <v>1000</v>
      </c>
      <c r="E3" s="5">
        <f>'700.1'!E3</f>
      </c>
      <c r="F3" s="5">
        <f>D3*E3</f>
      </c>
    </row>
    <row r="4">
      <c r="A4" s="3" t="s">
        <v>10</v>
      </c>
      <c r="F4" s="5">
        <f>SUM(F3:F3)</f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6"/>
  <cols>
    <col min="1" max="1" width="48" customWidth="1"/>
    <col min="2" max="2" width="16" customWidth="1"/>
  </cols>
  <sheetData>
    <row r="1">
      <c r="A1" s="1" t="s">
        <v>11</v>
      </c>
    </row>
    <row r="2">
      <c r="A2" s="0" t="s">
        <v>12</v>
      </c>
      <c r="B2" s="4" t="s">
        <v>13</v>
      </c>
    </row>
    <row r="3">
      <c r="A3" s="0" t="s">
        <v>14</v>
      </c>
      <c r="B3" s="6">
        <v>10</v>
      </c>
    </row>
    <row r="4">
      <c r="A4" s="0" t="s">
        <v>15</v>
      </c>
      <c r="B4" s="6">
        <v>1.12</v>
      </c>
    </row>
    <row r="5">
      <c r="A5" s="0" t="s">
        <v>16</v>
      </c>
      <c r="B5" s="6">
        <v>0</v>
      </c>
    </row>
    <row r="7">
      <c r="A7" s="0" t="s">
        <v>17</v>
      </c>
    </row>
    <row r="8">
      <c r="A8" s="0" t="s">
        <v>18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6"/>
  <cols>
    <col min="1" max="1" width="14" customWidth="1"/>
    <col min="2" max="2" width="42" customWidth="1"/>
    <col min="3" max="3" width="10" customWidth="1"/>
    <col min="4" max="6" width="14" customWidth="1"/>
    <col min="7" max="7" width="16" customWidth="1"/>
    <col min="8" max="8" width="14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0" t="s">
        <v>19</v>
      </c>
      <c r="H2" s="6">
        <v>3200</v>
      </c>
    </row>
    <row r="3">
      <c r="A3" s="0" t="s">
        <v>7</v>
      </c>
      <c r="B3" s="0" t="s">
        <v>8</v>
      </c>
      <c r="C3" s="0" t="s">
        <v>9</v>
      </c>
      <c r="D3" s="4">
        <v>1</v>
      </c>
      <c r="E3" s="5">
        <f>F23</f>
      </c>
      <c r="G3" s="0" t="s">
        <v>20</v>
      </c>
      <c r="H3" s="6">
        <v>10</v>
      </c>
    </row>
    <row r="4">
      <c r="A4" s="0" t="s">
        <v>21</v>
      </c>
    </row>
    <row r="5">
      <c r="A5" s="3" t="s">
        <v>22</v>
      </c>
    </row>
    <row r="6">
      <c r="A6" s="2" t="s">
        <v>23</v>
      </c>
      <c r="B6" s="2" t="s">
        <v>2</v>
      </c>
      <c r="C6" s="2" t="s">
        <v>3</v>
      </c>
      <c r="D6" s="2" t="s">
        <v>4</v>
      </c>
      <c r="E6" s="2" t="s">
        <v>24</v>
      </c>
      <c r="F6" s="2" t="s">
        <v>25</v>
      </c>
    </row>
    <row r="7">
      <c r="A7" s="0" t="s">
        <v>26</v>
      </c>
      <c r="B7" s="0" t="s">
        <v>27</v>
      </c>
      <c r="C7" s="0" t="s">
        <v>28</v>
      </c>
      <c r="D7" s="5">
        <f>2*10*10/$H$2</f>
      </c>
      <c r="E7" s="4">
        <v>272.32</v>
      </c>
      <c r="F7" s="5">
        <f>D7*E7</f>
      </c>
    </row>
    <row r="8">
      <c r="A8" s="3" t="s">
        <v>29</v>
      </c>
      <c r="B8" s="3" t="s">
        <v>30</v>
      </c>
      <c r="F8" s="5">
        <f>SUM(F7:F7)</f>
      </c>
    </row>
    <row r="9">
      <c r="A9" s="3" t="s">
        <v>31</v>
      </c>
    </row>
    <row r="10">
      <c r="A10" s="2" t="s">
        <v>23</v>
      </c>
      <c r="B10" s="2" t="s">
        <v>2</v>
      </c>
      <c r="C10" s="2" t="s">
        <v>3</v>
      </c>
      <c r="D10" s="2" t="s">
        <v>4</v>
      </c>
      <c r="E10" s="2" t="s">
        <v>24</v>
      </c>
      <c r="F10" s="2" t="s">
        <v>25</v>
      </c>
    </row>
    <row r="11">
      <c r="A11" s="0" t="s">
        <v>32</v>
      </c>
      <c r="B11" s="0" t="s">
        <v>33</v>
      </c>
      <c r="C11" s="0" t="s">
        <v>34</v>
      </c>
      <c r="D11" s="4">
        <v>0.000625</v>
      </c>
      <c r="E11" s="4">
        <v>8000</v>
      </c>
      <c r="F11" s="5">
        <f>D11*E11</f>
      </c>
    </row>
    <row r="12">
      <c r="A12" s="3" t="s">
        <v>35</v>
      </c>
      <c r="B12" s="3" t="s">
        <v>36</v>
      </c>
      <c r="F12" s="5">
        <f>SUM(F11:F11)</f>
      </c>
    </row>
    <row r="13">
      <c r="A13" s="3" t="s">
        <v>37</v>
      </c>
    </row>
    <row r="14">
      <c r="A14" s="2" t="s">
        <v>23</v>
      </c>
      <c r="B14" s="2" t="s">
        <v>2</v>
      </c>
      <c r="C14" s="2" t="s">
        <v>3</v>
      </c>
      <c r="D14" s="2" t="s">
        <v>4</v>
      </c>
      <c r="E14" s="2" t="s">
        <v>24</v>
      </c>
      <c r="F14" s="2" t="s">
        <v>25</v>
      </c>
    </row>
    <row r="15">
      <c r="A15" s="0" t="s">
        <v>38</v>
      </c>
      <c r="B15" s="0" t="s">
        <v>39</v>
      </c>
      <c r="C15" s="0" t="s">
        <v>40</v>
      </c>
      <c r="D15" s="4">
        <v>0.000625</v>
      </c>
      <c r="E15" s="4">
        <v>23255.6</v>
      </c>
      <c r="F15" s="5">
        <f>D15*E15</f>
      </c>
    </row>
    <row r="16">
      <c r="A16" s="3" t="s">
        <v>41</v>
      </c>
      <c r="B16" s="3" t="s">
        <v>42</v>
      </c>
      <c r="F16" s="5">
        <f>SUM(F15:F15)</f>
      </c>
    </row>
    <row r="17">
      <c r="A17" s="3" t="s">
        <v>43</v>
      </c>
    </row>
    <row r="18">
      <c r="A18" s="2" t="s">
        <v>23</v>
      </c>
      <c r="B18" s="2" t="s">
        <v>2</v>
      </c>
      <c r="C18" s="2" t="s">
        <v>3</v>
      </c>
      <c r="D18" s="2" t="s">
        <v>4</v>
      </c>
      <c r="E18" s="2" t="s">
        <v>24</v>
      </c>
      <c r="F18" s="2" t="s">
        <v>25</v>
      </c>
    </row>
    <row r="19">
      <c r="A19" s="0" t="s">
        <v>44</v>
      </c>
      <c r="B19" s="0" t="s">
        <v>45</v>
      </c>
      <c r="C19" s="0" t="s">
        <v>40</v>
      </c>
      <c r="D19" s="4">
        <v>0.0003125</v>
      </c>
      <c r="E19" s="4">
        <v>54166.67</v>
      </c>
      <c r="F19" s="5">
        <f>D19*E19</f>
      </c>
    </row>
    <row r="20">
      <c r="A20" s="3" t="s">
        <v>46</v>
      </c>
      <c r="B20" s="3" t="s">
        <v>47</v>
      </c>
      <c r="F20" s="5">
        <f>SUM(F19:F19)</f>
      </c>
    </row>
    <row r="21">
      <c r="A21" s="3" t="s">
        <v>48</v>
      </c>
      <c r="F21" s="5">
        <f>F8+F12+F16+F20</f>
      </c>
    </row>
    <row r="22">
      <c r="A22" s="3" t="s">
        <v>49</v>
      </c>
      <c r="F22" s="5">
        <f>F21*Rates!$B$5</f>
      </c>
    </row>
    <row r="23">
      <c r="A23" s="3" t="s">
        <v>50</v>
      </c>
      <c r="F23" s="5">
        <f>F21+F22</f>
      </c>
    </row>
  </sheetData>
  <mergeCells count="14">
    <mergeCell ref="A1:F1"/>
    <mergeCell ref="E2:F2"/>
    <mergeCell ref="A4:F4"/>
    <mergeCell ref="A5:F5"/>
    <mergeCell ref="B8:E8"/>
    <mergeCell ref="A9:F9"/>
    <mergeCell ref="B12:E12"/>
    <mergeCell ref="A13:F13"/>
    <mergeCell ref="B16:E16"/>
    <mergeCell ref="A17:F17"/>
    <mergeCell ref="B20:E20"/>
    <mergeCell ref="A21:E21"/>
    <mergeCell ref="A22:E22"/>
    <mergeCell ref="A23:E23"/>
  </mergeCells>
</worksheet>
</file>